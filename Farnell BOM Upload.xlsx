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lan/Desktop/Circuits/"/>
    </mc:Choice>
  </mc:AlternateContent>
  <xr:revisionPtr revIDLastSave="0" documentId="13_ncr:1_{C348B5C9-CA9B-DF4F-B002-CF09F7545C86}" xr6:coauthVersionLast="47" xr6:coauthVersionMax="47" xr10:uidLastSave="{00000000-0000-0000-0000-000000000000}"/>
  <bookViews>
    <workbookView xWindow="7100" yWindow="8780" windowWidth="12820" windowHeight="15100" xr2:uid="{EAE5999C-6D8B-F746-BC0E-DAFB712F439E}"/>
  </bookViews>
  <sheets>
    <sheet name="BOM without SMD" sheetId="1" r:id="rId1"/>
    <sheet name="BOM without duplicates" sheetId="2" r:id="rId2"/>
  </sheets>
  <definedNames>
    <definedName name="_xlnm._FilterDatabase" localSheetId="1" hidden="1">'BOM without duplicates'!$A$1:$E$54</definedName>
    <definedName name="_xlnm._FilterDatabase" localSheetId="0" hidden="1">'BOM without SMD'!$A$1:$J$165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1" i="1" l="1"/>
  <c r="E162" i="1"/>
  <c r="E163" i="1"/>
  <c r="E164" i="1"/>
  <c r="E165" i="1"/>
  <c r="E160" i="1"/>
</calcChain>
</file>

<file path=xl/sharedStrings.xml><?xml version="1.0" encoding="utf-8"?>
<sst xmlns="http://schemas.openxmlformats.org/spreadsheetml/2006/main" count="499" uniqueCount="108">
  <si>
    <t>Part number</t>
  </si>
  <si>
    <t>Qty</t>
  </si>
  <si>
    <t>FA18X7R1H104KNU00</t>
  </si>
  <si>
    <t>FA14X7R1H224KNU00</t>
  </si>
  <si>
    <t>FA18X7R1E105KRU00</t>
  </si>
  <si>
    <t>400BXC10MEFC10X20</t>
  </si>
  <si>
    <t>FA18C0G1H471JNU00</t>
  </si>
  <si>
    <t>ECE-A1EKS100I</t>
  </si>
  <si>
    <t>STTH1R06</t>
  </si>
  <si>
    <t>B3B-XH-A</t>
  </si>
  <si>
    <t>B2B-XH-A</t>
  </si>
  <si>
    <t>MCF 0.25W 560K</t>
  </si>
  <si>
    <t>MCF 0.25W 100K</t>
  </si>
  <si>
    <t>MCF 0.25W 18K</t>
  </si>
  <si>
    <t>MCF 0.25W 4.7K</t>
  </si>
  <si>
    <t>MCF 0.25W 56K</t>
  </si>
  <si>
    <t>MCF 0.25W 10K</t>
  </si>
  <si>
    <t>MCF 0.25W 2K7</t>
  </si>
  <si>
    <t>MCF 0.25W 2.2K</t>
  </si>
  <si>
    <t>HCPL-817-000E</t>
  </si>
  <si>
    <t>Footprint</t>
  </si>
  <si>
    <t>FA14_Capacitor:FA18X7R1H104KNU00</t>
  </si>
  <si>
    <t>FA14_Capacitor:FA14X7R1H224KNU00</t>
  </si>
  <si>
    <t>400BXC10MEFC10X20:CAPPRD500W60D1025H2200</t>
  </si>
  <si>
    <t>Capacitor_THT:CP_Radial_D5.0mm_P2.50mm</t>
  </si>
  <si>
    <t>Diode_THT:D_DO-41_SOD81_P10.16mm_Horizontal</t>
  </si>
  <si>
    <t>Phoenix 1x2 Connector:Phoenix_1x2_1729128</t>
  </si>
  <si>
    <t>Connector_JST:JST_XH_B3B-XH-A_1x03_P2.50mm_Vertical</t>
  </si>
  <si>
    <t>Connector_JST:JST_XH_B2B-XH-A_1x02_P2.50mm_Vertical</t>
  </si>
  <si>
    <t>Inductor_7447720122:WE-TI_809589</t>
  </si>
  <si>
    <t>Resistor_THT:R_Axial_DIN0207_L6.3mm_D2.5mm_P10.16mm_Horizontal</t>
  </si>
  <si>
    <t>Package_DIP:DIP-4_W7.62mm</t>
  </si>
  <si>
    <t>Part Number</t>
  </si>
  <si>
    <t>FA14X7R1H225KRU00</t>
  </si>
  <si>
    <t>1N4001</t>
  </si>
  <si>
    <t>1N4148</t>
  </si>
  <si>
    <t>Diode_THT:D_DO-35_SOD27_P7.62mm_Horizontal</t>
  </si>
  <si>
    <t>B6B-XH-A</t>
  </si>
  <si>
    <t>Connector_JST:JST_XH_B6B-XH-A_1x06_P2.50mm_Vertical</t>
  </si>
  <si>
    <t>G5Q-1A4-DC12</t>
  </si>
  <si>
    <t>Relay_THT:Relay_SPST_Omron-G5Q-1A</t>
  </si>
  <si>
    <t>MPF1212S-1W</t>
  </si>
  <si>
    <t>MPF1212S-1W:MPF1212S-1W</t>
  </si>
  <si>
    <t>MCF 0.25W 1M</t>
  </si>
  <si>
    <t>MCF 0.25W 27K</t>
  </si>
  <si>
    <t>MCF 0.5W 56K</t>
  </si>
  <si>
    <t>Resistor_THT:R_Axial_DIN0411_L9.9mm_D3.6mm_P12.70mm_Horizontal</t>
  </si>
  <si>
    <t>MCF 0.25W 100R</t>
  </si>
  <si>
    <t>MCF 0.5W 330K</t>
  </si>
  <si>
    <t>MCF 0.25W 5K6</t>
  </si>
  <si>
    <t>MCF 0.25W 1.8M</t>
  </si>
  <si>
    <t xml:space="preserve">Voltage measurement </t>
  </si>
  <si>
    <t>Precharge</t>
  </si>
  <si>
    <t>Discharge</t>
  </si>
  <si>
    <t>RDEC71E226K3P1H03B</t>
  </si>
  <si>
    <t>B4B-XH-A</t>
  </si>
  <si>
    <t>CFR25SJT-52A20K</t>
  </si>
  <si>
    <t>MCF 0.25W 1K</t>
  </si>
  <si>
    <t>MCF 0.25W 220</t>
  </si>
  <si>
    <t>MCF 0.25W 120</t>
  </si>
  <si>
    <t>RDEC71E:RDEC71E226K3P1H03B</t>
  </si>
  <si>
    <t>Connector_JST:JST_XH_B4B-XH-A_1x04_P2.50mm_Vertical</t>
  </si>
  <si>
    <t>Breakout</t>
  </si>
  <si>
    <t>Kicad_Libraries:FUSE_3557-2</t>
  </si>
  <si>
    <t>Kicad_Libraries:Phoenix_1x2_1729128</t>
  </si>
  <si>
    <t>3557-2</t>
  </si>
  <si>
    <t>PDU</t>
  </si>
  <si>
    <t>Kicad_Libraries:FA14X7R1H224KNU00</t>
  </si>
  <si>
    <t>Kicad_Libraries:FA18X7R1H104KNU00</t>
  </si>
  <si>
    <t>1n4001</t>
  </si>
  <si>
    <t>G5Q1A4DC12</t>
  </si>
  <si>
    <t>LTL-1CHG</t>
  </si>
  <si>
    <t>Kicad_Libraries:LTL1CHG</t>
  </si>
  <si>
    <t>LV Shutdown</t>
  </si>
  <si>
    <t>MCF 0.25W 15K</t>
  </si>
  <si>
    <t>MCF 0.25W 39K</t>
  </si>
  <si>
    <t>3296W-1-103LF</t>
  </si>
  <si>
    <t>Potentiometer_THT:Potentiometer_Bourns_3296W_Vertical</t>
  </si>
  <si>
    <t>36-5006-ND</t>
  </si>
  <si>
    <t>TestPoint:TestPoint_Loop_D2.60mm_Drill1.6mm_Beaded</t>
  </si>
  <si>
    <t>LM339N</t>
  </si>
  <si>
    <t>Kicad_Libraries:DIP794W53P254L1930H508Q14N</t>
  </si>
  <si>
    <t>BSPD</t>
  </si>
  <si>
    <t>Connector_JST:JST_XH_B5B-XH-A_1x05_P2.50mm_Vertical</t>
  </si>
  <si>
    <t>ENNOID:CSM2F-8518-L100J01</t>
  </si>
  <si>
    <t>B5B-XH-A</t>
  </si>
  <si>
    <t>CSM2F-8518-L100J01</t>
  </si>
  <si>
    <t>Master</t>
  </si>
  <si>
    <t>Connector_Molex:Molex_PicoBlade_53048-0210_1x02_P1.25mm_Horizontal</t>
  </si>
  <si>
    <t>Connector_Molex:Molex_PicoBlade_53048-1510_1x15_P1.25mm_Horizontal</t>
  </si>
  <si>
    <t>Connector_Molex:Molex_PicoBlade_53048-0810_1x08_P1.25mm_Horizontal</t>
  </si>
  <si>
    <t>53048-0210</t>
  </si>
  <si>
    <t>53048-1510</t>
  </si>
  <si>
    <t>53048-0810</t>
  </si>
  <si>
    <t>Slave</t>
  </si>
  <si>
    <t>MCF 0.25W 1M5</t>
  </si>
  <si>
    <t>X6</t>
  </si>
  <si>
    <t>Duplicate parts across boards</t>
  </si>
  <si>
    <t>Total Part Quantity</t>
  </si>
  <si>
    <t>Part Type</t>
  </si>
  <si>
    <t>Connector</t>
  </si>
  <si>
    <t>Capacitor</t>
  </si>
  <si>
    <t>Resistor</t>
  </si>
  <si>
    <t>Diode</t>
  </si>
  <si>
    <t>Relay</t>
  </si>
  <si>
    <t>Optocoupler</t>
  </si>
  <si>
    <t>LED</t>
  </si>
  <si>
    <t>These are being soldered by eurocircuits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</si>
</sst>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B2EA-8EB2-074B-9E3C-7B5E5C087679}">
  <dimension ref="A1:J165"/>
  <sheetViews>
    <sheetView tabSelected="1" topLeftCell="A144" workbookViewId="0">
      <selection activeCell="G160" sqref="G160"/>
    </sheetView>
  </sheetViews>
  <sheetFormatPr baseColWidth="10" defaultRowHeight="16" x14ac:dyDescent="0.2"/>
  <cols>
    <col min="1" max="1" width="19.33203125" bestFit="1" customWidth="1"/>
    <col min="3" max="3" width="85.1640625" bestFit="1" customWidth="1"/>
    <col min="5" max="5" width="19.6640625" bestFit="1" customWidth="1"/>
    <col min="8" max="8" width="25.83203125" bestFit="1" customWidth="1"/>
    <col min="9" max="9" width="17" bestFit="1" customWidth="1"/>
    <col min="10" max="10" width="13.6640625" customWidth="1"/>
  </cols>
  <sheetData>
    <row r="1" spans="1:10" x14ac:dyDescent="0.2">
      <c r="A1" s="1" t="s">
        <v>0</v>
      </c>
      <c r="B1" s="2"/>
      <c r="C1" s="1" t="s">
        <v>20</v>
      </c>
      <c r="D1" s="1" t="s">
        <v>1</v>
      </c>
      <c r="E1" s="1" t="s">
        <v>51</v>
      </c>
      <c r="H1" s="1" t="s">
        <v>97</v>
      </c>
      <c r="I1" s="1" t="s">
        <v>98</v>
      </c>
      <c r="J1" s="1" t="s">
        <v>99</v>
      </c>
    </row>
    <row r="2" spans="1:10" x14ac:dyDescent="0.2">
      <c r="A2" s="3" t="s">
        <v>2</v>
      </c>
      <c r="B2" s="2"/>
      <c r="C2" s="3" t="s">
        <v>21</v>
      </c>
      <c r="D2" s="3">
        <v>4</v>
      </c>
      <c r="H2" s="3" t="s">
        <v>2</v>
      </c>
      <c r="I2">
        <v>25</v>
      </c>
      <c r="J2" t="s">
        <v>101</v>
      </c>
    </row>
    <row r="3" spans="1:10" x14ac:dyDescent="0.2">
      <c r="A3" s="3" t="s">
        <v>3</v>
      </c>
      <c r="B3" s="2"/>
      <c r="C3" s="3" t="s">
        <v>22</v>
      </c>
      <c r="D3" s="3">
        <v>2</v>
      </c>
      <c r="H3" s="3" t="s">
        <v>3</v>
      </c>
      <c r="I3">
        <v>4</v>
      </c>
      <c r="J3" t="s">
        <v>101</v>
      </c>
    </row>
    <row r="4" spans="1:10" x14ac:dyDescent="0.2">
      <c r="A4" s="3" t="s">
        <v>4</v>
      </c>
      <c r="B4" s="2"/>
      <c r="C4" s="3" t="s">
        <v>21</v>
      </c>
      <c r="D4" s="3">
        <v>1</v>
      </c>
      <c r="H4" s="3" t="s">
        <v>4</v>
      </c>
      <c r="I4">
        <v>5</v>
      </c>
      <c r="J4" t="s">
        <v>101</v>
      </c>
    </row>
    <row r="5" spans="1:10" x14ac:dyDescent="0.2">
      <c r="A5" s="3" t="s">
        <v>5</v>
      </c>
      <c r="B5" s="2"/>
      <c r="C5" s="3" t="s">
        <v>23</v>
      </c>
      <c r="D5" s="3">
        <v>1</v>
      </c>
    </row>
    <row r="6" spans="1:10" x14ac:dyDescent="0.2">
      <c r="A6" s="3" t="s">
        <v>6</v>
      </c>
      <c r="B6" s="2"/>
      <c r="C6" s="3" t="s">
        <v>21</v>
      </c>
      <c r="D6" s="3">
        <v>1</v>
      </c>
    </row>
    <row r="7" spans="1:10" x14ac:dyDescent="0.2">
      <c r="A7" s="3" t="s">
        <v>7</v>
      </c>
      <c r="B7" s="2"/>
      <c r="C7" s="3" t="s">
        <v>24</v>
      </c>
      <c r="D7" s="3">
        <v>1</v>
      </c>
      <c r="H7" s="3" t="s">
        <v>7</v>
      </c>
      <c r="I7">
        <v>5</v>
      </c>
      <c r="J7" t="s">
        <v>101</v>
      </c>
    </row>
    <row r="8" spans="1:10" x14ac:dyDescent="0.2">
      <c r="A8" s="3" t="s">
        <v>8</v>
      </c>
      <c r="B8" s="2"/>
      <c r="C8" s="3" t="s">
        <v>25</v>
      </c>
      <c r="D8" s="3">
        <v>2</v>
      </c>
    </row>
    <row r="9" spans="1:10" x14ac:dyDescent="0.2">
      <c r="A9" s="3">
        <v>1729128</v>
      </c>
      <c r="B9" s="2"/>
      <c r="C9" s="3" t="s">
        <v>26</v>
      </c>
      <c r="D9" s="3">
        <v>2</v>
      </c>
      <c r="H9" s="3">
        <v>1729128</v>
      </c>
      <c r="I9">
        <v>10</v>
      </c>
      <c r="J9" t="s">
        <v>100</v>
      </c>
    </row>
    <row r="10" spans="1:10" x14ac:dyDescent="0.2">
      <c r="A10" s="3" t="s">
        <v>9</v>
      </c>
      <c r="B10" s="2"/>
      <c r="C10" s="3" t="s">
        <v>27</v>
      </c>
      <c r="D10" s="3">
        <v>1</v>
      </c>
      <c r="H10" s="3" t="s">
        <v>9</v>
      </c>
      <c r="I10">
        <v>11</v>
      </c>
      <c r="J10" t="s">
        <v>100</v>
      </c>
    </row>
    <row r="11" spans="1:10" x14ac:dyDescent="0.2">
      <c r="A11" s="3" t="s">
        <v>10</v>
      </c>
      <c r="B11" s="2"/>
      <c r="C11" s="3" t="s">
        <v>28</v>
      </c>
      <c r="D11" s="3">
        <v>1</v>
      </c>
      <c r="H11" s="3" t="s">
        <v>10</v>
      </c>
      <c r="I11">
        <v>46</v>
      </c>
      <c r="J11" t="s">
        <v>100</v>
      </c>
    </row>
    <row r="12" spans="1:10" x14ac:dyDescent="0.2">
      <c r="A12" s="3">
        <v>7447720122</v>
      </c>
      <c r="B12" s="2"/>
      <c r="C12" s="3" t="s">
        <v>29</v>
      </c>
      <c r="D12" s="3">
        <v>1</v>
      </c>
      <c r="H12" s="3"/>
    </row>
    <row r="13" spans="1:10" x14ac:dyDescent="0.2">
      <c r="A13" s="3" t="s">
        <v>11</v>
      </c>
      <c r="B13" s="2"/>
      <c r="C13" s="3" t="s">
        <v>30</v>
      </c>
      <c r="D13" s="3">
        <v>3</v>
      </c>
    </row>
    <row r="14" spans="1:10" x14ac:dyDescent="0.2">
      <c r="A14" s="3" t="s">
        <v>12</v>
      </c>
      <c r="B14" s="2"/>
      <c r="C14" s="3" t="s">
        <v>30</v>
      </c>
      <c r="D14" s="3">
        <v>3</v>
      </c>
      <c r="H14" s="3" t="s">
        <v>12</v>
      </c>
      <c r="I14">
        <v>18</v>
      </c>
      <c r="J14" t="s">
        <v>102</v>
      </c>
    </row>
    <row r="15" spans="1:10" x14ac:dyDescent="0.2">
      <c r="A15" s="3" t="s">
        <v>13</v>
      </c>
      <c r="B15" s="2"/>
      <c r="C15" s="3" t="s">
        <v>30</v>
      </c>
      <c r="D15" s="3">
        <v>4</v>
      </c>
    </row>
    <row r="16" spans="1:10" x14ac:dyDescent="0.2">
      <c r="A16" s="3" t="s">
        <v>14</v>
      </c>
      <c r="B16" s="2"/>
      <c r="C16" s="3" t="s">
        <v>30</v>
      </c>
      <c r="D16" s="3">
        <v>1</v>
      </c>
    </row>
    <row r="17" spans="1:10" x14ac:dyDescent="0.2">
      <c r="A17" s="3" t="s">
        <v>15</v>
      </c>
      <c r="B17" s="2"/>
      <c r="C17" s="3" t="s">
        <v>30</v>
      </c>
      <c r="D17" s="3">
        <v>3</v>
      </c>
      <c r="H17" s="3" t="s">
        <v>15</v>
      </c>
      <c r="I17">
        <v>8</v>
      </c>
      <c r="J17" t="s">
        <v>102</v>
      </c>
    </row>
    <row r="18" spans="1:10" x14ac:dyDescent="0.2">
      <c r="A18" s="3" t="s">
        <v>16</v>
      </c>
      <c r="B18" s="2"/>
      <c r="C18" s="3" t="s">
        <v>30</v>
      </c>
      <c r="D18" s="3">
        <v>3</v>
      </c>
      <c r="H18" s="3" t="s">
        <v>16</v>
      </c>
      <c r="I18">
        <v>68</v>
      </c>
      <c r="J18" t="s">
        <v>102</v>
      </c>
    </row>
    <row r="19" spans="1:10" x14ac:dyDescent="0.2">
      <c r="A19" s="3" t="s">
        <v>17</v>
      </c>
      <c r="B19" s="2"/>
      <c r="C19" s="3" t="s">
        <v>30</v>
      </c>
      <c r="D19" s="3">
        <v>1</v>
      </c>
    </row>
    <row r="20" spans="1:10" x14ac:dyDescent="0.2">
      <c r="A20" s="3" t="s">
        <v>16</v>
      </c>
      <c r="B20" s="2"/>
      <c r="C20" s="3" t="s">
        <v>30</v>
      </c>
      <c r="D20" s="3">
        <v>3</v>
      </c>
    </row>
    <row r="21" spans="1:10" x14ac:dyDescent="0.2">
      <c r="A21" s="3" t="s">
        <v>18</v>
      </c>
      <c r="B21" s="2"/>
      <c r="C21" s="3" t="s">
        <v>30</v>
      </c>
      <c r="D21" s="3">
        <v>3</v>
      </c>
      <c r="H21" s="3" t="s">
        <v>18</v>
      </c>
      <c r="I21">
        <v>4</v>
      </c>
      <c r="J21" t="s">
        <v>102</v>
      </c>
    </row>
    <row r="22" spans="1:10" x14ac:dyDescent="0.2">
      <c r="A22" s="3" t="s">
        <v>19</v>
      </c>
      <c r="B22" s="2"/>
      <c r="C22" s="3" t="s">
        <v>31</v>
      </c>
      <c r="D22" s="3">
        <v>3</v>
      </c>
      <c r="H22" s="3" t="s">
        <v>19</v>
      </c>
      <c r="I22">
        <v>6</v>
      </c>
      <c r="J22" t="s">
        <v>105</v>
      </c>
    </row>
    <row r="23" spans="1:10" x14ac:dyDescent="0.2">
      <c r="A23" s="3" t="s">
        <v>95</v>
      </c>
      <c r="B23" s="2"/>
      <c r="C23" s="3" t="s">
        <v>30</v>
      </c>
      <c r="D23" s="3">
        <v>3</v>
      </c>
    </row>
    <row r="24" spans="1:10" x14ac:dyDescent="0.2">
      <c r="A24" s="1" t="s">
        <v>32</v>
      </c>
      <c r="B24" s="2"/>
      <c r="C24" s="1" t="s">
        <v>20</v>
      </c>
      <c r="D24" s="1" t="s">
        <v>1</v>
      </c>
      <c r="E24" s="1" t="s">
        <v>52</v>
      </c>
    </row>
    <row r="25" spans="1:10" x14ac:dyDescent="0.2">
      <c r="A25" s="3" t="s">
        <v>4</v>
      </c>
      <c r="B25" s="2"/>
      <c r="C25" s="3" t="s">
        <v>21</v>
      </c>
      <c r="D25" s="3">
        <v>2</v>
      </c>
    </row>
    <row r="26" spans="1:10" x14ac:dyDescent="0.2">
      <c r="A26" s="3" t="s">
        <v>2</v>
      </c>
      <c r="B26" s="2"/>
      <c r="C26" s="3" t="s">
        <v>21</v>
      </c>
      <c r="D26" s="3">
        <v>4</v>
      </c>
    </row>
    <row r="27" spans="1:10" x14ac:dyDescent="0.2">
      <c r="A27" s="3" t="s">
        <v>33</v>
      </c>
      <c r="B27" s="2"/>
      <c r="C27" s="3" t="s">
        <v>22</v>
      </c>
      <c r="D27" s="3">
        <v>3</v>
      </c>
    </row>
    <row r="28" spans="1:10" x14ac:dyDescent="0.2">
      <c r="A28" s="3" t="s">
        <v>34</v>
      </c>
      <c r="B28" s="2"/>
      <c r="C28" s="3" t="s">
        <v>25</v>
      </c>
      <c r="D28" s="3">
        <v>2</v>
      </c>
      <c r="H28" s="3" t="s">
        <v>34</v>
      </c>
      <c r="I28">
        <v>6</v>
      </c>
      <c r="J28" t="s">
        <v>103</v>
      </c>
    </row>
    <row r="29" spans="1:10" x14ac:dyDescent="0.2">
      <c r="A29" s="3" t="s">
        <v>35</v>
      </c>
      <c r="B29" s="2"/>
      <c r="C29" s="3" t="s">
        <v>36</v>
      </c>
      <c r="D29" s="3">
        <v>2</v>
      </c>
      <c r="H29" s="3" t="s">
        <v>35</v>
      </c>
      <c r="I29">
        <v>3</v>
      </c>
      <c r="J29" t="s">
        <v>103</v>
      </c>
    </row>
    <row r="30" spans="1:10" x14ac:dyDescent="0.2">
      <c r="A30" s="3">
        <v>1729128</v>
      </c>
      <c r="B30" s="2"/>
      <c r="C30" s="3" t="s">
        <v>26</v>
      </c>
      <c r="D30" s="3">
        <v>2</v>
      </c>
    </row>
    <row r="31" spans="1:10" x14ac:dyDescent="0.2">
      <c r="A31" s="3" t="s">
        <v>10</v>
      </c>
      <c r="B31" s="2"/>
      <c r="C31" s="3" t="s">
        <v>28</v>
      </c>
      <c r="D31" s="3">
        <v>1</v>
      </c>
    </row>
    <row r="32" spans="1:10" x14ac:dyDescent="0.2">
      <c r="A32" s="3" t="s">
        <v>37</v>
      </c>
      <c r="B32" s="2"/>
      <c r="C32" s="3" t="s">
        <v>38</v>
      </c>
      <c r="D32" s="3">
        <v>1</v>
      </c>
      <c r="H32" s="3" t="s">
        <v>37</v>
      </c>
      <c r="I32">
        <v>3</v>
      </c>
      <c r="J32" t="s">
        <v>100</v>
      </c>
    </row>
    <row r="33" spans="1:10" x14ac:dyDescent="0.2">
      <c r="A33" s="3" t="s">
        <v>39</v>
      </c>
      <c r="B33" s="2"/>
      <c r="C33" s="3" t="s">
        <v>40</v>
      </c>
      <c r="D33" s="3">
        <v>1</v>
      </c>
      <c r="H33" s="3" t="s">
        <v>39</v>
      </c>
      <c r="I33">
        <v>2</v>
      </c>
      <c r="J33" t="s">
        <v>104</v>
      </c>
    </row>
    <row r="34" spans="1:10" x14ac:dyDescent="0.2">
      <c r="A34" s="3" t="s">
        <v>41</v>
      </c>
      <c r="B34" s="2"/>
      <c r="C34" s="3" t="s">
        <v>42</v>
      </c>
      <c r="D34" s="3">
        <v>1</v>
      </c>
    </row>
    <row r="35" spans="1:10" x14ac:dyDescent="0.2">
      <c r="A35" s="3" t="s">
        <v>16</v>
      </c>
      <c r="B35" s="2"/>
      <c r="C35" s="3" t="s">
        <v>30</v>
      </c>
      <c r="D35" s="3">
        <v>4</v>
      </c>
    </row>
    <row r="36" spans="1:10" x14ac:dyDescent="0.2">
      <c r="A36" s="3" t="s">
        <v>43</v>
      </c>
      <c r="B36" s="2"/>
      <c r="C36" s="3" t="s">
        <v>30</v>
      </c>
      <c r="D36" s="3">
        <v>1</v>
      </c>
      <c r="H36" s="3" t="s">
        <v>43</v>
      </c>
      <c r="I36">
        <v>2</v>
      </c>
      <c r="J36" t="s">
        <v>102</v>
      </c>
    </row>
    <row r="37" spans="1:10" x14ac:dyDescent="0.2">
      <c r="A37" s="3" t="s">
        <v>12</v>
      </c>
      <c r="B37" s="2"/>
      <c r="C37" s="3" t="s">
        <v>30</v>
      </c>
      <c r="D37" s="3">
        <v>5</v>
      </c>
    </row>
    <row r="38" spans="1:10" x14ac:dyDescent="0.2">
      <c r="A38" s="3" t="s">
        <v>44</v>
      </c>
      <c r="B38" s="2"/>
      <c r="C38" s="3" t="s">
        <v>30</v>
      </c>
      <c r="D38" s="3">
        <v>1</v>
      </c>
      <c r="H38" s="3" t="s">
        <v>44</v>
      </c>
      <c r="I38">
        <v>16</v>
      </c>
      <c r="J38" t="s">
        <v>102</v>
      </c>
    </row>
    <row r="39" spans="1:10" x14ac:dyDescent="0.2">
      <c r="A39" s="3" t="s">
        <v>45</v>
      </c>
      <c r="B39" s="2"/>
      <c r="C39" s="3" t="s">
        <v>46</v>
      </c>
      <c r="D39" s="3">
        <v>4</v>
      </c>
    </row>
    <row r="40" spans="1:10" x14ac:dyDescent="0.2">
      <c r="A40" s="3" t="s">
        <v>47</v>
      </c>
      <c r="B40" s="2"/>
      <c r="C40" s="3" t="s">
        <v>30</v>
      </c>
      <c r="D40" s="3">
        <v>1</v>
      </c>
      <c r="H40" s="3" t="s">
        <v>47</v>
      </c>
      <c r="I40">
        <v>10</v>
      </c>
      <c r="J40" t="s">
        <v>102</v>
      </c>
    </row>
    <row r="41" spans="1:10" x14ac:dyDescent="0.2">
      <c r="A41" s="3" t="s">
        <v>48</v>
      </c>
      <c r="B41" s="2"/>
      <c r="C41" s="3" t="s">
        <v>46</v>
      </c>
      <c r="D41" s="3">
        <v>2</v>
      </c>
    </row>
    <row r="42" spans="1:10" x14ac:dyDescent="0.2">
      <c r="A42" s="3" t="s">
        <v>49</v>
      </c>
      <c r="B42" s="2"/>
      <c r="C42" s="3" t="s">
        <v>30</v>
      </c>
      <c r="D42" s="3">
        <v>2</v>
      </c>
    </row>
    <row r="43" spans="1:10" x14ac:dyDescent="0.2">
      <c r="A43" s="3" t="s">
        <v>50</v>
      </c>
      <c r="B43" s="2"/>
      <c r="C43" s="3" t="s">
        <v>30</v>
      </c>
      <c r="D43" s="3">
        <v>1</v>
      </c>
    </row>
    <row r="44" spans="1:10" x14ac:dyDescent="0.2">
      <c r="A44" s="3" t="s">
        <v>18</v>
      </c>
      <c r="B44" s="2"/>
      <c r="C44" s="3" t="s">
        <v>30</v>
      </c>
      <c r="D44" s="3">
        <v>1</v>
      </c>
    </row>
    <row r="45" spans="1:10" x14ac:dyDescent="0.2">
      <c r="A45" s="3" t="s">
        <v>19</v>
      </c>
      <c r="B45" s="2"/>
      <c r="C45" s="3" t="s">
        <v>31</v>
      </c>
      <c r="D45" s="3">
        <v>2</v>
      </c>
    </row>
    <row r="46" spans="1:10" x14ac:dyDescent="0.2">
      <c r="A46" s="1" t="s">
        <v>32</v>
      </c>
      <c r="B46" s="2"/>
      <c r="C46" s="1" t="s">
        <v>20</v>
      </c>
      <c r="D46" s="1" t="s">
        <v>1</v>
      </c>
      <c r="E46" s="1" t="s">
        <v>53</v>
      </c>
    </row>
    <row r="47" spans="1:10" x14ac:dyDescent="0.2">
      <c r="A47" s="3" t="s">
        <v>19</v>
      </c>
      <c r="B47" s="2"/>
      <c r="C47" s="3" t="s">
        <v>31</v>
      </c>
      <c r="D47" s="3">
        <v>1</v>
      </c>
    </row>
    <row r="48" spans="1:10" x14ac:dyDescent="0.2">
      <c r="A48" s="3" t="s">
        <v>15</v>
      </c>
      <c r="B48" s="2"/>
      <c r="C48" s="3" t="s">
        <v>30</v>
      </c>
      <c r="D48" s="3">
        <v>4</v>
      </c>
    </row>
    <row r="49" spans="1:8" x14ac:dyDescent="0.2">
      <c r="A49" s="3" t="s">
        <v>16</v>
      </c>
      <c r="B49" s="2"/>
      <c r="C49" s="3" t="s">
        <v>30</v>
      </c>
      <c r="D49" s="3">
        <v>1</v>
      </c>
    </row>
    <row r="50" spans="1:8" x14ac:dyDescent="0.2">
      <c r="A50" s="3" t="s">
        <v>9</v>
      </c>
      <c r="B50" s="2"/>
      <c r="C50" s="3" t="s">
        <v>27</v>
      </c>
      <c r="D50" s="3">
        <v>1</v>
      </c>
    </row>
    <row r="51" spans="1:8" x14ac:dyDescent="0.2">
      <c r="A51" s="3">
        <v>1729128</v>
      </c>
      <c r="B51" s="2"/>
      <c r="C51" s="3" t="s">
        <v>26</v>
      </c>
      <c r="D51" s="3">
        <v>2</v>
      </c>
    </row>
    <row r="52" spans="1:8" x14ac:dyDescent="0.2">
      <c r="A52" s="3" t="s">
        <v>10</v>
      </c>
      <c r="B52" s="2"/>
      <c r="C52" s="3" t="s">
        <v>28</v>
      </c>
      <c r="D52" s="3">
        <v>1</v>
      </c>
    </row>
    <row r="53" spans="1:8" x14ac:dyDescent="0.2">
      <c r="A53" s="3" t="s">
        <v>35</v>
      </c>
      <c r="B53" s="2"/>
      <c r="C53" s="3" t="s">
        <v>36</v>
      </c>
      <c r="D53" s="3">
        <v>1</v>
      </c>
    </row>
    <row r="54" spans="1:8" x14ac:dyDescent="0.2">
      <c r="A54" s="3" t="s">
        <v>34</v>
      </c>
      <c r="B54" s="2"/>
      <c r="C54" s="3" t="s">
        <v>25</v>
      </c>
      <c r="D54" s="3">
        <v>1</v>
      </c>
    </row>
    <row r="55" spans="1:8" x14ac:dyDescent="0.2">
      <c r="A55" s="3" t="s">
        <v>4</v>
      </c>
      <c r="B55" s="2"/>
      <c r="C55" s="3" t="s">
        <v>21</v>
      </c>
      <c r="D55" s="3">
        <v>2</v>
      </c>
    </row>
    <row r="56" spans="1:8" x14ac:dyDescent="0.2">
      <c r="A56" s="1" t="s">
        <v>32</v>
      </c>
      <c r="C56" s="1" t="s">
        <v>20</v>
      </c>
      <c r="D56" s="1" t="s">
        <v>1</v>
      </c>
      <c r="E56" s="1" t="s">
        <v>62</v>
      </c>
    </row>
    <row r="57" spans="1:8" x14ac:dyDescent="0.2">
      <c r="A57" s="3" t="s">
        <v>2</v>
      </c>
      <c r="C57" s="3" t="s">
        <v>21</v>
      </c>
      <c r="D57" s="3">
        <v>8</v>
      </c>
    </row>
    <row r="58" spans="1:8" x14ac:dyDescent="0.2">
      <c r="A58" s="3" t="s">
        <v>7</v>
      </c>
      <c r="C58" s="3" t="s">
        <v>24</v>
      </c>
      <c r="D58" s="3">
        <v>2</v>
      </c>
      <c r="H58" s="3"/>
    </row>
    <row r="59" spans="1:8" x14ac:dyDescent="0.2">
      <c r="A59" s="3" t="s">
        <v>54</v>
      </c>
      <c r="C59" s="3" t="s">
        <v>60</v>
      </c>
      <c r="D59" s="3">
        <v>1</v>
      </c>
    </row>
    <row r="60" spans="1:8" x14ac:dyDescent="0.2">
      <c r="A60" s="3" t="s">
        <v>9</v>
      </c>
      <c r="C60" s="3" t="s">
        <v>27</v>
      </c>
      <c r="D60" s="3">
        <v>1</v>
      </c>
    </row>
    <row r="61" spans="1:8" x14ac:dyDescent="0.2">
      <c r="A61" s="3" t="s">
        <v>10</v>
      </c>
      <c r="C61" s="3" t="s">
        <v>28</v>
      </c>
      <c r="D61" s="3">
        <v>1</v>
      </c>
    </row>
    <row r="62" spans="1:8" x14ac:dyDescent="0.2">
      <c r="A62" s="3" t="s">
        <v>9</v>
      </c>
      <c r="C62" s="3" t="s">
        <v>27</v>
      </c>
      <c r="D62" s="3">
        <v>1</v>
      </c>
    </row>
    <row r="63" spans="1:8" x14ac:dyDescent="0.2">
      <c r="A63" s="3" t="s">
        <v>9</v>
      </c>
      <c r="C63" s="3" t="s">
        <v>27</v>
      </c>
      <c r="D63" s="3">
        <v>1</v>
      </c>
    </row>
    <row r="64" spans="1:8" x14ac:dyDescent="0.2">
      <c r="A64" s="3" t="s">
        <v>9</v>
      </c>
      <c r="C64" s="3" t="s">
        <v>27</v>
      </c>
      <c r="D64" s="3">
        <v>1</v>
      </c>
    </row>
    <row r="65" spans="1:10" x14ac:dyDescent="0.2">
      <c r="A65" s="3" t="s">
        <v>9</v>
      </c>
      <c r="C65" s="3" t="s">
        <v>27</v>
      </c>
      <c r="D65" s="3">
        <v>1</v>
      </c>
    </row>
    <row r="66" spans="1:10" x14ac:dyDescent="0.2">
      <c r="A66" s="3" t="s">
        <v>55</v>
      </c>
      <c r="C66" s="3" t="s">
        <v>61</v>
      </c>
      <c r="D66" s="3">
        <v>1</v>
      </c>
      <c r="H66" s="3" t="s">
        <v>55</v>
      </c>
      <c r="I66">
        <v>2</v>
      </c>
      <c r="J66" t="s">
        <v>100</v>
      </c>
    </row>
    <row r="67" spans="1:10" x14ac:dyDescent="0.2">
      <c r="A67" s="3" t="s">
        <v>55</v>
      </c>
      <c r="C67" s="3" t="s">
        <v>61</v>
      </c>
      <c r="D67" s="3">
        <v>1</v>
      </c>
    </row>
    <row r="68" spans="1:10" x14ac:dyDescent="0.2">
      <c r="A68" s="3" t="s">
        <v>10</v>
      </c>
      <c r="C68" s="3" t="s">
        <v>28</v>
      </c>
      <c r="D68" s="3">
        <v>1</v>
      </c>
    </row>
    <row r="69" spans="1:10" x14ac:dyDescent="0.2">
      <c r="A69" s="3" t="s">
        <v>10</v>
      </c>
      <c r="C69" s="3" t="s">
        <v>28</v>
      </c>
      <c r="D69" s="3">
        <v>1</v>
      </c>
    </row>
    <row r="70" spans="1:10" x14ac:dyDescent="0.2">
      <c r="A70" s="3" t="s">
        <v>10</v>
      </c>
      <c r="C70" s="3" t="s">
        <v>28</v>
      </c>
      <c r="D70" s="3">
        <v>1</v>
      </c>
    </row>
    <row r="71" spans="1:10" x14ac:dyDescent="0.2">
      <c r="A71" s="3" t="s">
        <v>9</v>
      </c>
      <c r="C71" s="3" t="s">
        <v>27</v>
      </c>
      <c r="D71" s="3">
        <v>1</v>
      </c>
    </row>
    <row r="72" spans="1:10" x14ac:dyDescent="0.2">
      <c r="A72" s="3" t="s">
        <v>16</v>
      </c>
      <c r="C72" s="3" t="s">
        <v>30</v>
      </c>
      <c r="D72" s="3">
        <v>4</v>
      </c>
    </row>
    <row r="73" spans="1:10" x14ac:dyDescent="0.2">
      <c r="A73" s="3" t="s">
        <v>56</v>
      </c>
      <c r="C73" s="3" t="s">
        <v>30</v>
      </c>
      <c r="D73" s="3">
        <v>4</v>
      </c>
    </row>
    <row r="74" spans="1:10" x14ac:dyDescent="0.2">
      <c r="A74" s="3" t="s">
        <v>47</v>
      </c>
      <c r="C74" s="3" t="s">
        <v>30</v>
      </c>
      <c r="D74" s="3">
        <v>3</v>
      </c>
    </row>
    <row r="75" spans="1:10" x14ac:dyDescent="0.2">
      <c r="A75" s="3" t="s">
        <v>12</v>
      </c>
      <c r="C75" s="3" t="s">
        <v>30</v>
      </c>
      <c r="D75" s="3">
        <v>4</v>
      </c>
    </row>
    <row r="76" spans="1:10" x14ac:dyDescent="0.2">
      <c r="A76" s="3" t="s">
        <v>57</v>
      </c>
      <c r="C76" s="3" t="s">
        <v>30</v>
      </c>
      <c r="D76" s="3">
        <v>4</v>
      </c>
      <c r="H76" s="3" t="s">
        <v>57</v>
      </c>
      <c r="I76">
        <v>8</v>
      </c>
      <c r="J76" t="s">
        <v>102</v>
      </c>
    </row>
    <row r="77" spans="1:10" x14ac:dyDescent="0.2">
      <c r="A77" s="3" t="s">
        <v>58</v>
      </c>
      <c r="C77" s="3" t="s">
        <v>30</v>
      </c>
      <c r="D77" s="3">
        <v>1</v>
      </c>
    </row>
    <row r="78" spans="1:10" x14ac:dyDescent="0.2">
      <c r="A78" s="3" t="s">
        <v>59</v>
      </c>
      <c r="C78" s="3" t="s">
        <v>30</v>
      </c>
      <c r="D78" s="3">
        <v>1</v>
      </c>
    </row>
    <row r="79" spans="1:10" x14ac:dyDescent="0.2">
      <c r="A79" s="1" t="s">
        <v>32</v>
      </c>
      <c r="C79" s="1" t="s">
        <v>20</v>
      </c>
      <c r="D79" s="1" t="s">
        <v>1</v>
      </c>
      <c r="E79" s="1" t="s">
        <v>66</v>
      </c>
    </row>
    <row r="80" spans="1:10" x14ac:dyDescent="0.2">
      <c r="A80" s="3" t="s">
        <v>65</v>
      </c>
      <c r="C80" s="3" t="s">
        <v>63</v>
      </c>
      <c r="D80" s="3">
        <v>11</v>
      </c>
    </row>
    <row r="81" spans="1:5" x14ac:dyDescent="0.2">
      <c r="A81" s="3" t="s">
        <v>10</v>
      </c>
      <c r="C81" s="3" t="s">
        <v>28</v>
      </c>
      <c r="D81" s="3">
        <v>1</v>
      </c>
    </row>
    <row r="82" spans="1:5" x14ac:dyDescent="0.2">
      <c r="A82" s="3" t="s">
        <v>10</v>
      </c>
      <c r="C82" s="3" t="s">
        <v>28</v>
      </c>
      <c r="D82" s="3">
        <v>1</v>
      </c>
    </row>
    <row r="83" spans="1:5" x14ac:dyDescent="0.2">
      <c r="A83" s="3" t="s">
        <v>10</v>
      </c>
      <c r="C83" s="3" t="s">
        <v>28</v>
      </c>
      <c r="D83" s="3">
        <v>1</v>
      </c>
    </row>
    <row r="84" spans="1:5" x14ac:dyDescent="0.2">
      <c r="A84" s="3" t="s">
        <v>10</v>
      </c>
      <c r="C84" s="3" t="s">
        <v>28</v>
      </c>
      <c r="D84" s="3">
        <v>1</v>
      </c>
    </row>
    <row r="85" spans="1:5" x14ac:dyDescent="0.2">
      <c r="A85" s="3" t="s">
        <v>10</v>
      </c>
      <c r="C85" s="3" t="s">
        <v>28</v>
      </c>
      <c r="D85" s="3">
        <v>1</v>
      </c>
    </row>
    <row r="86" spans="1:5" x14ac:dyDescent="0.2">
      <c r="A86" s="3" t="s">
        <v>10</v>
      </c>
      <c r="C86" s="3" t="s">
        <v>28</v>
      </c>
      <c r="D86" s="3">
        <v>1</v>
      </c>
    </row>
    <row r="87" spans="1:5" x14ac:dyDescent="0.2">
      <c r="A87" s="3" t="s">
        <v>10</v>
      </c>
      <c r="C87" s="3" t="s">
        <v>28</v>
      </c>
      <c r="D87" s="3">
        <v>1</v>
      </c>
    </row>
    <row r="88" spans="1:5" x14ac:dyDescent="0.2">
      <c r="A88" s="3" t="s">
        <v>10</v>
      </c>
      <c r="C88" s="3" t="s">
        <v>28</v>
      </c>
      <c r="D88" s="3">
        <v>1</v>
      </c>
    </row>
    <row r="89" spans="1:5" x14ac:dyDescent="0.2">
      <c r="A89" s="3" t="s">
        <v>10</v>
      </c>
      <c r="C89" s="3" t="s">
        <v>28</v>
      </c>
      <c r="D89" s="3">
        <v>1</v>
      </c>
    </row>
    <row r="90" spans="1:5" x14ac:dyDescent="0.2">
      <c r="A90" s="3" t="s">
        <v>10</v>
      </c>
      <c r="C90" s="3" t="s">
        <v>28</v>
      </c>
      <c r="D90" s="3">
        <v>1</v>
      </c>
    </row>
    <row r="91" spans="1:5" x14ac:dyDescent="0.2">
      <c r="A91" s="3">
        <v>1729128</v>
      </c>
      <c r="C91" s="3" t="s">
        <v>64</v>
      </c>
      <c r="D91" s="3">
        <v>1</v>
      </c>
    </row>
    <row r="92" spans="1:5" x14ac:dyDescent="0.2">
      <c r="A92" s="1" t="s">
        <v>32</v>
      </c>
      <c r="B92" s="2"/>
      <c r="C92" s="1" t="s">
        <v>20</v>
      </c>
      <c r="D92" s="1" t="s">
        <v>1</v>
      </c>
      <c r="E92" s="1" t="s">
        <v>73</v>
      </c>
    </row>
    <row r="93" spans="1:5" x14ac:dyDescent="0.2">
      <c r="A93" s="3" t="s">
        <v>3</v>
      </c>
      <c r="B93" s="2"/>
      <c r="C93" s="3" t="s">
        <v>67</v>
      </c>
      <c r="D93" s="3">
        <v>1</v>
      </c>
    </row>
    <row r="94" spans="1:5" x14ac:dyDescent="0.2">
      <c r="A94" s="3" t="s">
        <v>2</v>
      </c>
      <c r="B94" s="2"/>
      <c r="C94" s="3" t="s">
        <v>68</v>
      </c>
      <c r="D94" s="3">
        <v>3</v>
      </c>
    </row>
    <row r="95" spans="1:5" x14ac:dyDescent="0.2">
      <c r="A95" s="3" t="s">
        <v>69</v>
      </c>
      <c r="B95" s="2"/>
      <c r="C95" s="3" t="s">
        <v>25</v>
      </c>
      <c r="D95" s="3">
        <v>2</v>
      </c>
    </row>
    <row r="96" spans="1:5" x14ac:dyDescent="0.2">
      <c r="A96" s="3" t="s">
        <v>9</v>
      </c>
      <c r="B96" s="2"/>
      <c r="C96" s="3" t="s">
        <v>27</v>
      </c>
      <c r="D96" s="3">
        <v>1</v>
      </c>
    </row>
    <row r="97" spans="1:4" x14ac:dyDescent="0.2">
      <c r="A97" s="3" t="s">
        <v>37</v>
      </c>
      <c r="B97" s="2"/>
      <c r="C97" s="3" t="s">
        <v>38</v>
      </c>
      <c r="D97" s="3">
        <v>2</v>
      </c>
    </row>
    <row r="98" spans="1:4" x14ac:dyDescent="0.2">
      <c r="A98" s="3" t="s">
        <v>9</v>
      </c>
      <c r="B98" s="2"/>
      <c r="C98" s="3" t="s">
        <v>27</v>
      </c>
      <c r="D98" s="3">
        <v>1</v>
      </c>
    </row>
    <row r="99" spans="1:4" x14ac:dyDescent="0.2">
      <c r="A99" s="3" t="s">
        <v>10</v>
      </c>
      <c r="B99" s="2"/>
      <c r="C99" s="3" t="s">
        <v>28</v>
      </c>
      <c r="D99" s="3">
        <v>1</v>
      </c>
    </row>
    <row r="100" spans="1:4" x14ac:dyDescent="0.2">
      <c r="A100" s="3" t="s">
        <v>10</v>
      </c>
      <c r="B100" s="2"/>
      <c r="C100" s="3" t="s">
        <v>28</v>
      </c>
      <c r="D100" s="3">
        <v>1</v>
      </c>
    </row>
    <row r="101" spans="1:4" x14ac:dyDescent="0.2">
      <c r="A101" s="3" t="s">
        <v>10</v>
      </c>
      <c r="B101" s="2"/>
      <c r="C101" s="3" t="s">
        <v>28</v>
      </c>
      <c r="D101" s="3">
        <v>1</v>
      </c>
    </row>
    <row r="102" spans="1:4" x14ac:dyDescent="0.2">
      <c r="A102" s="3" t="s">
        <v>10</v>
      </c>
      <c r="B102" s="2"/>
      <c r="C102" s="3" t="s">
        <v>28</v>
      </c>
      <c r="D102" s="3">
        <v>1</v>
      </c>
    </row>
    <row r="103" spans="1:4" x14ac:dyDescent="0.2">
      <c r="A103" s="3" t="s">
        <v>10</v>
      </c>
      <c r="B103" s="2"/>
      <c r="C103" s="3" t="s">
        <v>28</v>
      </c>
      <c r="D103" s="3">
        <v>1</v>
      </c>
    </row>
    <row r="104" spans="1:4" x14ac:dyDescent="0.2">
      <c r="A104" s="3" t="s">
        <v>10</v>
      </c>
      <c r="B104" s="2"/>
      <c r="C104" s="3" t="s">
        <v>28</v>
      </c>
      <c r="D104" s="3">
        <v>1</v>
      </c>
    </row>
    <row r="105" spans="1:4" x14ac:dyDescent="0.2">
      <c r="A105" s="3" t="s">
        <v>10</v>
      </c>
      <c r="B105" s="2"/>
      <c r="C105" s="3" t="s">
        <v>28</v>
      </c>
      <c r="D105" s="3">
        <v>1</v>
      </c>
    </row>
    <row r="106" spans="1:4" x14ac:dyDescent="0.2">
      <c r="A106" s="3" t="s">
        <v>10</v>
      </c>
      <c r="B106" s="2"/>
      <c r="C106" s="3" t="s">
        <v>28</v>
      </c>
      <c r="D106" s="3">
        <v>1</v>
      </c>
    </row>
    <row r="107" spans="1:4" x14ac:dyDescent="0.2">
      <c r="A107" s="3" t="s">
        <v>10</v>
      </c>
      <c r="B107" s="2"/>
      <c r="C107" s="3" t="s">
        <v>28</v>
      </c>
      <c r="D107" s="3">
        <v>1</v>
      </c>
    </row>
    <row r="108" spans="1:4" x14ac:dyDescent="0.2">
      <c r="A108" s="3" t="s">
        <v>10</v>
      </c>
      <c r="B108" s="2"/>
      <c r="C108" s="3" t="s">
        <v>28</v>
      </c>
      <c r="D108" s="3">
        <v>1</v>
      </c>
    </row>
    <row r="109" spans="1:4" x14ac:dyDescent="0.2">
      <c r="A109" s="3" t="s">
        <v>10</v>
      </c>
      <c r="B109" s="2"/>
      <c r="C109" s="3" t="s">
        <v>28</v>
      </c>
      <c r="D109" s="3">
        <v>1</v>
      </c>
    </row>
    <row r="110" spans="1:4" x14ac:dyDescent="0.2">
      <c r="A110" s="3" t="s">
        <v>10</v>
      </c>
      <c r="B110" s="2"/>
      <c r="C110" s="3" t="s">
        <v>28</v>
      </c>
      <c r="D110" s="3">
        <v>1</v>
      </c>
    </row>
    <row r="111" spans="1:4" x14ac:dyDescent="0.2">
      <c r="A111" s="3" t="s">
        <v>10</v>
      </c>
      <c r="B111" s="2"/>
      <c r="C111" s="3" t="s">
        <v>28</v>
      </c>
      <c r="D111" s="3">
        <v>1</v>
      </c>
    </row>
    <row r="112" spans="1:4" x14ac:dyDescent="0.2">
      <c r="A112" s="3" t="s">
        <v>10</v>
      </c>
      <c r="B112" s="2"/>
      <c r="C112" s="3" t="s">
        <v>28</v>
      </c>
      <c r="D112" s="3">
        <v>1</v>
      </c>
    </row>
    <row r="113" spans="1:10" x14ac:dyDescent="0.2">
      <c r="A113" s="3" t="s">
        <v>10</v>
      </c>
      <c r="B113" s="2"/>
      <c r="C113" s="3" t="s">
        <v>28</v>
      </c>
      <c r="D113" s="3">
        <v>1</v>
      </c>
    </row>
    <row r="114" spans="1:10" x14ac:dyDescent="0.2">
      <c r="A114" s="3" t="s">
        <v>10</v>
      </c>
      <c r="B114" s="2"/>
      <c r="C114" s="3" t="s">
        <v>28</v>
      </c>
      <c r="D114" s="3">
        <v>1</v>
      </c>
    </row>
    <row r="115" spans="1:10" x14ac:dyDescent="0.2">
      <c r="A115" s="3" t="s">
        <v>10</v>
      </c>
      <c r="B115" s="2"/>
      <c r="C115" s="3" t="s">
        <v>28</v>
      </c>
      <c r="D115" s="3">
        <v>1</v>
      </c>
    </row>
    <row r="116" spans="1:10" x14ac:dyDescent="0.2">
      <c r="A116" s="3" t="s">
        <v>10</v>
      </c>
      <c r="B116" s="2"/>
      <c r="C116" s="3" t="s">
        <v>28</v>
      </c>
      <c r="D116" s="3">
        <v>1</v>
      </c>
    </row>
    <row r="117" spans="1:10" x14ac:dyDescent="0.2">
      <c r="A117" s="3" t="s">
        <v>10</v>
      </c>
      <c r="B117" s="2"/>
      <c r="C117" s="3" t="s">
        <v>28</v>
      </c>
      <c r="D117" s="3">
        <v>1</v>
      </c>
    </row>
    <row r="118" spans="1:10" x14ac:dyDescent="0.2">
      <c r="A118" s="3" t="s">
        <v>10</v>
      </c>
      <c r="B118" s="2"/>
      <c r="C118" s="3" t="s">
        <v>28</v>
      </c>
      <c r="D118" s="3">
        <v>1</v>
      </c>
    </row>
    <row r="119" spans="1:10" x14ac:dyDescent="0.2">
      <c r="A119" s="3" t="s">
        <v>10</v>
      </c>
      <c r="B119" s="2"/>
      <c r="C119" s="3" t="s">
        <v>28</v>
      </c>
      <c r="D119" s="3">
        <v>1</v>
      </c>
    </row>
    <row r="120" spans="1:10" x14ac:dyDescent="0.2">
      <c r="A120" s="3" t="s">
        <v>70</v>
      </c>
      <c r="B120" s="2"/>
      <c r="C120" s="3" t="s">
        <v>40</v>
      </c>
      <c r="D120" s="3">
        <v>2</v>
      </c>
    </row>
    <row r="121" spans="1:10" x14ac:dyDescent="0.2">
      <c r="A121" s="3" t="s">
        <v>71</v>
      </c>
      <c r="B121" s="2"/>
      <c r="C121" s="3" t="s">
        <v>72</v>
      </c>
      <c r="D121" s="3">
        <v>15</v>
      </c>
      <c r="H121" s="3" t="s">
        <v>71</v>
      </c>
      <c r="I121">
        <v>20</v>
      </c>
      <c r="J121" t="s">
        <v>106</v>
      </c>
    </row>
    <row r="122" spans="1:10" x14ac:dyDescent="0.2">
      <c r="A122" s="3" t="s">
        <v>44</v>
      </c>
      <c r="B122" s="2"/>
      <c r="C122" s="3" t="s">
        <v>30</v>
      </c>
      <c r="D122" s="3">
        <v>15</v>
      </c>
    </row>
    <row r="123" spans="1:10" x14ac:dyDescent="0.2">
      <c r="A123" s="3" t="s">
        <v>16</v>
      </c>
      <c r="B123" s="2"/>
      <c r="C123" s="3" t="s">
        <v>30</v>
      </c>
      <c r="D123" s="3">
        <v>38</v>
      </c>
    </row>
    <row r="124" spans="1:10" x14ac:dyDescent="0.2">
      <c r="A124" s="3" t="s">
        <v>47</v>
      </c>
      <c r="B124" s="2"/>
      <c r="C124" s="3" t="s">
        <v>30</v>
      </c>
      <c r="D124" s="3">
        <v>6</v>
      </c>
    </row>
    <row r="125" spans="1:10" x14ac:dyDescent="0.2">
      <c r="A125" s="1" t="s">
        <v>32</v>
      </c>
      <c r="B125" s="2"/>
      <c r="C125" s="1" t="s">
        <v>20</v>
      </c>
      <c r="D125" s="1" t="s">
        <v>1</v>
      </c>
      <c r="E125" s="1" t="s">
        <v>82</v>
      </c>
    </row>
    <row r="126" spans="1:10" x14ac:dyDescent="0.2">
      <c r="A126" s="3" t="s">
        <v>3</v>
      </c>
      <c r="B126" s="2"/>
      <c r="C126" s="3" t="s">
        <v>67</v>
      </c>
      <c r="D126" s="3">
        <v>1</v>
      </c>
    </row>
    <row r="127" spans="1:10" x14ac:dyDescent="0.2">
      <c r="A127" s="3" t="s">
        <v>2</v>
      </c>
      <c r="B127" s="2"/>
      <c r="C127" s="3" t="s">
        <v>68</v>
      </c>
      <c r="D127" s="3">
        <v>6</v>
      </c>
    </row>
    <row r="128" spans="1:10" x14ac:dyDescent="0.2">
      <c r="A128" s="3" t="s">
        <v>7</v>
      </c>
      <c r="B128" s="2"/>
      <c r="C128" s="3" t="s">
        <v>24</v>
      </c>
      <c r="D128" s="3">
        <v>2</v>
      </c>
    </row>
    <row r="129" spans="1:5" x14ac:dyDescent="0.2">
      <c r="A129" s="3" t="s">
        <v>34</v>
      </c>
      <c r="B129" s="2"/>
      <c r="C129" s="3" t="s">
        <v>25</v>
      </c>
      <c r="D129" s="3">
        <v>1</v>
      </c>
    </row>
    <row r="130" spans="1:5" x14ac:dyDescent="0.2">
      <c r="A130" s="3" t="s">
        <v>9</v>
      </c>
      <c r="B130" s="2"/>
      <c r="C130" s="3" t="s">
        <v>27</v>
      </c>
      <c r="D130" s="3">
        <v>1</v>
      </c>
    </row>
    <row r="131" spans="1:5" x14ac:dyDescent="0.2">
      <c r="A131" s="3" t="s">
        <v>10</v>
      </c>
      <c r="B131" s="2"/>
      <c r="C131" s="3" t="s">
        <v>28</v>
      </c>
      <c r="D131" s="3">
        <v>2</v>
      </c>
    </row>
    <row r="132" spans="1:5" x14ac:dyDescent="0.2">
      <c r="A132" s="3" t="s">
        <v>39</v>
      </c>
      <c r="B132" s="2"/>
      <c r="C132" s="3" t="s">
        <v>40</v>
      </c>
      <c r="D132" s="3">
        <v>1</v>
      </c>
    </row>
    <row r="133" spans="1:5" x14ac:dyDescent="0.2">
      <c r="A133" s="3" t="s">
        <v>71</v>
      </c>
      <c r="B133" s="2"/>
      <c r="C133" s="3" t="s">
        <v>72</v>
      </c>
      <c r="D133" s="3">
        <v>5</v>
      </c>
    </row>
    <row r="134" spans="1:5" x14ac:dyDescent="0.2">
      <c r="A134" s="3" t="s">
        <v>12</v>
      </c>
      <c r="B134" s="2"/>
      <c r="C134" s="3" t="s">
        <v>30</v>
      </c>
      <c r="D134" s="3">
        <v>6</v>
      </c>
    </row>
    <row r="135" spans="1:5" x14ac:dyDescent="0.2">
      <c r="A135" s="3" t="s">
        <v>57</v>
      </c>
      <c r="B135" s="2"/>
      <c r="C135" s="3" t="s">
        <v>30</v>
      </c>
      <c r="D135" s="3">
        <v>4</v>
      </c>
    </row>
    <row r="136" spans="1:5" x14ac:dyDescent="0.2">
      <c r="A136" s="3" t="s">
        <v>16</v>
      </c>
      <c r="B136" s="2"/>
      <c r="C136" s="3" t="s">
        <v>30</v>
      </c>
      <c r="D136" s="3">
        <v>15</v>
      </c>
    </row>
    <row r="137" spans="1:5" x14ac:dyDescent="0.2">
      <c r="A137" s="3" t="s">
        <v>15</v>
      </c>
      <c r="B137" s="2"/>
      <c r="C137" s="3" t="s">
        <v>30</v>
      </c>
      <c r="D137" s="3">
        <v>1</v>
      </c>
    </row>
    <row r="138" spans="1:5" x14ac:dyDescent="0.2">
      <c r="A138" s="3" t="s">
        <v>43</v>
      </c>
      <c r="B138" s="2"/>
      <c r="C138" s="3" t="s">
        <v>30</v>
      </c>
      <c r="D138" s="3">
        <v>1</v>
      </c>
    </row>
    <row r="139" spans="1:5" x14ac:dyDescent="0.2">
      <c r="A139" s="3" t="s">
        <v>74</v>
      </c>
      <c r="B139" s="2"/>
      <c r="C139" s="3" t="s">
        <v>30</v>
      </c>
      <c r="D139" s="3">
        <v>1</v>
      </c>
    </row>
    <row r="140" spans="1:5" x14ac:dyDescent="0.2">
      <c r="A140" s="3" t="s">
        <v>75</v>
      </c>
      <c r="B140" s="2"/>
      <c r="C140" s="3" t="s">
        <v>30</v>
      </c>
      <c r="D140" s="3">
        <v>1</v>
      </c>
    </row>
    <row r="141" spans="1:5" x14ac:dyDescent="0.2">
      <c r="A141" s="3" t="s">
        <v>76</v>
      </c>
      <c r="B141" s="2"/>
      <c r="C141" s="3" t="s">
        <v>77</v>
      </c>
      <c r="D141" s="3">
        <v>3</v>
      </c>
    </row>
    <row r="142" spans="1:5" x14ac:dyDescent="0.2">
      <c r="A142" s="3" t="s">
        <v>78</v>
      </c>
      <c r="B142" s="2"/>
      <c r="C142" s="3" t="s">
        <v>79</v>
      </c>
      <c r="D142" s="3">
        <v>6</v>
      </c>
    </row>
    <row r="143" spans="1:5" x14ac:dyDescent="0.2">
      <c r="A143" s="3" t="s">
        <v>80</v>
      </c>
      <c r="B143" s="2"/>
      <c r="C143" s="3" t="s">
        <v>81</v>
      </c>
      <c r="D143" s="3">
        <v>2</v>
      </c>
    </row>
    <row r="144" spans="1:5" x14ac:dyDescent="0.2">
      <c r="A144" s="1" t="s">
        <v>32</v>
      </c>
      <c r="C144" s="1" t="s">
        <v>20</v>
      </c>
      <c r="D144" s="1" t="s">
        <v>1</v>
      </c>
      <c r="E144" s="1" t="s">
        <v>87</v>
      </c>
    </row>
    <row r="145" spans="1:10" x14ac:dyDescent="0.2">
      <c r="A145" s="3">
        <v>1729128</v>
      </c>
      <c r="C145" s="3" t="s">
        <v>64</v>
      </c>
      <c r="D145" s="3">
        <v>1</v>
      </c>
    </row>
    <row r="146" spans="1:10" x14ac:dyDescent="0.2">
      <c r="A146" s="3" t="s">
        <v>10</v>
      </c>
      <c r="C146" s="3" t="s">
        <v>28</v>
      </c>
      <c r="D146" s="3">
        <v>1</v>
      </c>
    </row>
    <row r="147" spans="1:10" x14ac:dyDescent="0.2">
      <c r="A147" s="3" t="s">
        <v>85</v>
      </c>
      <c r="C147" s="3" t="s">
        <v>83</v>
      </c>
      <c r="D147" s="3">
        <v>1</v>
      </c>
      <c r="H147" s="3" t="s">
        <v>85</v>
      </c>
      <c r="I147">
        <v>4</v>
      </c>
      <c r="J147" t="s">
        <v>100</v>
      </c>
    </row>
    <row r="148" spans="1:10" x14ac:dyDescent="0.2">
      <c r="A148" s="3">
        <v>1729128</v>
      </c>
      <c r="C148" s="3" t="s">
        <v>64</v>
      </c>
      <c r="D148" s="3">
        <v>1</v>
      </c>
    </row>
    <row r="149" spans="1:10" x14ac:dyDescent="0.2">
      <c r="A149" s="3" t="s">
        <v>10</v>
      </c>
      <c r="C149" s="3" t="s">
        <v>28</v>
      </c>
      <c r="D149" s="3">
        <v>1</v>
      </c>
    </row>
    <row r="150" spans="1:10" x14ac:dyDescent="0.2">
      <c r="A150" s="3" t="s">
        <v>10</v>
      </c>
      <c r="C150" s="3" t="s">
        <v>28</v>
      </c>
      <c r="D150" s="3">
        <v>1</v>
      </c>
    </row>
    <row r="151" spans="1:10" x14ac:dyDescent="0.2">
      <c r="A151" s="3" t="s">
        <v>10</v>
      </c>
      <c r="C151" s="3" t="s">
        <v>28</v>
      </c>
      <c r="D151" s="3">
        <v>1</v>
      </c>
    </row>
    <row r="152" spans="1:10" x14ac:dyDescent="0.2">
      <c r="A152" s="3" t="s">
        <v>10</v>
      </c>
      <c r="C152" s="3" t="s">
        <v>28</v>
      </c>
      <c r="D152" s="3">
        <v>1</v>
      </c>
    </row>
    <row r="153" spans="1:10" x14ac:dyDescent="0.2">
      <c r="A153" s="3" t="s">
        <v>85</v>
      </c>
      <c r="C153" s="3" t="s">
        <v>83</v>
      </c>
      <c r="D153" s="3">
        <v>1</v>
      </c>
    </row>
    <row r="154" spans="1:10" x14ac:dyDescent="0.2">
      <c r="A154" s="3">
        <v>1729128</v>
      </c>
      <c r="C154" s="3" t="s">
        <v>64</v>
      </c>
      <c r="D154" s="3">
        <v>1</v>
      </c>
    </row>
    <row r="155" spans="1:10" x14ac:dyDescent="0.2">
      <c r="A155" s="3" t="s">
        <v>10</v>
      </c>
      <c r="C155" s="3" t="s">
        <v>28</v>
      </c>
      <c r="D155" s="3">
        <v>1</v>
      </c>
    </row>
    <row r="156" spans="1:10" x14ac:dyDescent="0.2">
      <c r="A156" s="3" t="s">
        <v>85</v>
      </c>
      <c r="C156" s="3" t="s">
        <v>83</v>
      </c>
      <c r="D156" s="3">
        <v>1</v>
      </c>
    </row>
    <row r="157" spans="1:10" x14ac:dyDescent="0.2">
      <c r="A157" s="3" t="s">
        <v>85</v>
      </c>
      <c r="C157" s="3" t="s">
        <v>83</v>
      </c>
      <c r="D157" s="3">
        <v>1</v>
      </c>
    </row>
    <row r="158" spans="1:10" x14ac:dyDescent="0.2">
      <c r="A158" s="3" t="s">
        <v>86</v>
      </c>
      <c r="C158" s="3" t="s">
        <v>84</v>
      </c>
      <c r="D158" s="3">
        <v>1</v>
      </c>
    </row>
    <row r="159" spans="1:10" x14ac:dyDescent="0.2">
      <c r="A159" s="1" t="s">
        <v>32</v>
      </c>
      <c r="C159" s="1" t="s">
        <v>20</v>
      </c>
      <c r="D159" s="1" t="s">
        <v>1</v>
      </c>
      <c r="E159" s="1" t="s">
        <v>94</v>
      </c>
      <c r="F159" s="1" t="s">
        <v>96</v>
      </c>
      <c r="G159" s="1" t="s">
        <v>107</v>
      </c>
    </row>
    <row r="160" spans="1:10" x14ac:dyDescent="0.2">
      <c r="A160" s="3" t="s">
        <v>91</v>
      </c>
      <c r="C160" s="3" t="s">
        <v>88</v>
      </c>
      <c r="D160" s="3">
        <v>1</v>
      </c>
      <c r="E160">
        <f>D160*6</f>
        <v>6</v>
      </c>
      <c r="H160" s="3" t="s">
        <v>91</v>
      </c>
      <c r="I160">
        <v>24</v>
      </c>
      <c r="J160" t="s">
        <v>100</v>
      </c>
    </row>
    <row r="161" spans="1:5" x14ac:dyDescent="0.2">
      <c r="A161" s="3" t="s">
        <v>91</v>
      </c>
      <c r="C161" s="3" t="s">
        <v>88</v>
      </c>
      <c r="D161" s="3">
        <v>1</v>
      </c>
      <c r="E161">
        <f t="shared" ref="E161:E165" si="0">D161*6</f>
        <v>6</v>
      </c>
    </row>
    <row r="162" spans="1:5" x14ac:dyDescent="0.2">
      <c r="A162" s="3" t="s">
        <v>92</v>
      </c>
      <c r="C162" s="3" t="s">
        <v>89</v>
      </c>
      <c r="D162" s="3">
        <v>2</v>
      </c>
      <c r="E162">
        <f t="shared" si="0"/>
        <v>12</v>
      </c>
    </row>
    <row r="163" spans="1:5" x14ac:dyDescent="0.2">
      <c r="A163" s="3" t="s">
        <v>93</v>
      </c>
      <c r="C163" s="3" t="s">
        <v>90</v>
      </c>
      <c r="D163" s="3">
        <v>2</v>
      </c>
      <c r="E163">
        <f t="shared" si="0"/>
        <v>12</v>
      </c>
    </row>
    <row r="164" spans="1:5" x14ac:dyDescent="0.2">
      <c r="A164" s="3" t="s">
        <v>91</v>
      </c>
      <c r="C164" s="3" t="s">
        <v>88</v>
      </c>
      <c r="D164" s="3">
        <v>1</v>
      </c>
      <c r="E164">
        <f t="shared" si="0"/>
        <v>6</v>
      </c>
    </row>
    <row r="165" spans="1:5" x14ac:dyDescent="0.2">
      <c r="A165" s="3" t="s">
        <v>91</v>
      </c>
      <c r="C165" s="3" t="s">
        <v>88</v>
      </c>
      <c r="D165" s="3">
        <v>1</v>
      </c>
      <c r="E165">
        <f t="shared" si="0"/>
        <v>6</v>
      </c>
    </row>
  </sheetData>
  <autoFilter ref="A1:J165" xr:uid="{420DB2EA-8EB2-074B-9E3C-7B5E5C087679}"/>
  <conditionalFormatting sqref="A1:XFD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EDC-27F4-CC40-8530-2AB15CE0212E}">
  <dimension ref="A1:E54"/>
  <sheetViews>
    <sheetView topLeftCell="A7" workbookViewId="0">
      <selection activeCell="G10" sqref="G10"/>
    </sheetView>
  </sheetViews>
  <sheetFormatPr baseColWidth="10" defaultRowHeight="16" x14ac:dyDescent="0.2"/>
  <cols>
    <col min="1" max="1" width="20.33203125" bestFit="1" customWidth="1"/>
    <col min="3" max="3" width="60.83203125" bestFit="1" customWidth="1"/>
    <col min="4" max="4" width="16.33203125" customWidth="1"/>
  </cols>
  <sheetData>
    <row r="1" spans="1:5" x14ac:dyDescent="0.2">
      <c r="A1" s="1" t="s">
        <v>0</v>
      </c>
      <c r="B1" s="2"/>
      <c r="C1" s="1" t="s">
        <v>20</v>
      </c>
      <c r="D1" s="1" t="s">
        <v>1</v>
      </c>
      <c r="E1" s="1"/>
    </row>
    <row r="2" spans="1:5" x14ac:dyDescent="0.2">
      <c r="A2" s="3" t="s">
        <v>5</v>
      </c>
      <c r="B2" s="2"/>
      <c r="C2" s="3" t="s">
        <v>23</v>
      </c>
      <c r="D2" s="3">
        <v>1</v>
      </c>
    </row>
    <row r="3" spans="1:5" x14ac:dyDescent="0.2">
      <c r="A3" s="3" t="s">
        <v>6</v>
      </c>
      <c r="B3" s="2"/>
      <c r="C3" s="3" t="s">
        <v>21</v>
      </c>
      <c r="D3" s="3">
        <v>1</v>
      </c>
    </row>
    <row r="4" spans="1:5" x14ac:dyDescent="0.2">
      <c r="A4" s="3" t="s">
        <v>7</v>
      </c>
      <c r="B4" s="2"/>
      <c r="C4" s="3" t="s">
        <v>24</v>
      </c>
      <c r="D4" s="3">
        <v>5</v>
      </c>
    </row>
    <row r="5" spans="1:5" x14ac:dyDescent="0.2">
      <c r="A5" s="3" t="s">
        <v>8</v>
      </c>
      <c r="B5" s="2"/>
      <c r="C5" s="3" t="s">
        <v>25</v>
      </c>
      <c r="D5" s="3">
        <v>2</v>
      </c>
    </row>
    <row r="6" spans="1:5" x14ac:dyDescent="0.2">
      <c r="A6" s="3">
        <v>7447720122</v>
      </c>
      <c r="B6" s="2"/>
      <c r="C6" s="3" t="s">
        <v>29</v>
      </c>
      <c r="D6" s="3">
        <v>1</v>
      </c>
    </row>
    <row r="7" spans="1:5" x14ac:dyDescent="0.2">
      <c r="A7" s="3" t="s">
        <v>11</v>
      </c>
      <c r="B7" s="2"/>
      <c r="C7" s="3" t="s">
        <v>30</v>
      </c>
      <c r="D7" s="3">
        <v>3</v>
      </c>
    </row>
    <row r="8" spans="1:5" x14ac:dyDescent="0.2">
      <c r="A8" s="3" t="s">
        <v>13</v>
      </c>
      <c r="B8" s="2"/>
      <c r="C8" s="3" t="s">
        <v>30</v>
      </c>
      <c r="D8" s="3">
        <v>4</v>
      </c>
    </row>
    <row r="9" spans="1:5" x14ac:dyDescent="0.2">
      <c r="A9" s="3" t="s">
        <v>14</v>
      </c>
      <c r="B9" s="2"/>
      <c r="C9" s="3" t="s">
        <v>30</v>
      </c>
      <c r="D9" s="3">
        <v>1</v>
      </c>
    </row>
    <row r="10" spans="1:5" x14ac:dyDescent="0.2">
      <c r="A10" s="3" t="s">
        <v>17</v>
      </c>
      <c r="B10" s="2"/>
      <c r="C10" s="3" t="s">
        <v>30</v>
      </c>
      <c r="D10" s="3">
        <v>1</v>
      </c>
    </row>
    <row r="11" spans="1:5" x14ac:dyDescent="0.2">
      <c r="A11" s="3" t="s">
        <v>95</v>
      </c>
      <c r="B11" s="2"/>
      <c r="C11" s="3" t="s">
        <v>30</v>
      </c>
      <c r="D11" s="3">
        <v>3</v>
      </c>
    </row>
    <row r="12" spans="1:5" x14ac:dyDescent="0.2">
      <c r="A12" s="3" t="s">
        <v>33</v>
      </c>
      <c r="B12" s="2"/>
      <c r="C12" s="3" t="s">
        <v>22</v>
      </c>
      <c r="D12" s="3">
        <v>3</v>
      </c>
    </row>
    <row r="13" spans="1:5" x14ac:dyDescent="0.2">
      <c r="A13" s="3" t="s">
        <v>41</v>
      </c>
      <c r="B13" s="2"/>
      <c r="C13" s="3" t="s">
        <v>42</v>
      </c>
      <c r="D13" s="3">
        <v>1</v>
      </c>
    </row>
    <row r="14" spans="1:5" x14ac:dyDescent="0.2">
      <c r="A14" s="3" t="s">
        <v>45</v>
      </c>
      <c r="B14" s="2"/>
      <c r="C14" s="3" t="s">
        <v>46</v>
      </c>
      <c r="D14" s="3">
        <v>4</v>
      </c>
    </row>
    <row r="15" spans="1:5" x14ac:dyDescent="0.2">
      <c r="A15" s="3" t="s">
        <v>48</v>
      </c>
      <c r="B15" s="2"/>
      <c r="C15" s="3" t="s">
        <v>46</v>
      </c>
      <c r="D15" s="3">
        <v>2</v>
      </c>
    </row>
    <row r="16" spans="1:5" x14ac:dyDescent="0.2">
      <c r="A16" s="3" t="s">
        <v>49</v>
      </c>
      <c r="B16" s="2"/>
      <c r="C16" s="3" t="s">
        <v>30</v>
      </c>
      <c r="D16" s="3">
        <v>2</v>
      </c>
    </row>
    <row r="17" spans="1:4" x14ac:dyDescent="0.2">
      <c r="A17" s="3" t="s">
        <v>50</v>
      </c>
      <c r="B17" s="2"/>
      <c r="C17" s="3" t="s">
        <v>30</v>
      </c>
      <c r="D17" s="3">
        <v>1</v>
      </c>
    </row>
    <row r="18" spans="1:4" x14ac:dyDescent="0.2">
      <c r="A18" s="3" t="s">
        <v>54</v>
      </c>
      <c r="C18" s="3" t="s">
        <v>60</v>
      </c>
      <c r="D18" s="3">
        <v>1</v>
      </c>
    </row>
    <row r="19" spans="1:4" x14ac:dyDescent="0.2">
      <c r="A19" s="3" t="s">
        <v>56</v>
      </c>
      <c r="C19" s="3" t="s">
        <v>30</v>
      </c>
      <c r="D19" s="3">
        <v>4</v>
      </c>
    </row>
    <row r="20" spans="1:4" x14ac:dyDescent="0.2">
      <c r="A20" s="3" t="s">
        <v>58</v>
      </c>
      <c r="C20" s="3" t="s">
        <v>30</v>
      </c>
      <c r="D20" s="3">
        <v>1</v>
      </c>
    </row>
    <row r="21" spans="1:4" x14ac:dyDescent="0.2">
      <c r="A21" s="3" t="s">
        <v>59</v>
      </c>
      <c r="C21" s="3" t="s">
        <v>30</v>
      </c>
      <c r="D21" s="3">
        <v>1</v>
      </c>
    </row>
    <row r="22" spans="1:4" x14ac:dyDescent="0.2">
      <c r="A22" s="3" t="s">
        <v>65</v>
      </c>
      <c r="C22" s="3" t="s">
        <v>63</v>
      </c>
      <c r="D22" s="3">
        <v>11</v>
      </c>
    </row>
    <row r="23" spans="1:4" x14ac:dyDescent="0.2">
      <c r="A23" s="3" t="s">
        <v>70</v>
      </c>
      <c r="B23" s="2"/>
      <c r="C23" s="3" t="s">
        <v>40</v>
      </c>
      <c r="D23" s="3">
        <v>2</v>
      </c>
    </row>
    <row r="24" spans="1:4" x14ac:dyDescent="0.2">
      <c r="A24" s="3" t="s">
        <v>74</v>
      </c>
      <c r="B24" s="2"/>
      <c r="C24" s="3" t="s">
        <v>30</v>
      </c>
      <c r="D24" s="3">
        <v>1</v>
      </c>
    </row>
    <row r="25" spans="1:4" x14ac:dyDescent="0.2">
      <c r="A25" s="3" t="s">
        <v>75</v>
      </c>
      <c r="B25" s="2"/>
      <c r="C25" s="3" t="s">
        <v>30</v>
      </c>
      <c r="D25" s="3">
        <v>1</v>
      </c>
    </row>
    <row r="26" spans="1:4" x14ac:dyDescent="0.2">
      <c r="A26" s="3" t="s">
        <v>76</v>
      </c>
      <c r="B26" s="2"/>
      <c r="C26" s="3" t="s">
        <v>77</v>
      </c>
      <c r="D26" s="3">
        <v>3</v>
      </c>
    </row>
    <row r="27" spans="1:4" x14ac:dyDescent="0.2">
      <c r="A27" s="3" t="s">
        <v>78</v>
      </c>
      <c r="B27" s="2"/>
      <c r="C27" s="3" t="s">
        <v>79</v>
      </c>
      <c r="D27" s="3">
        <v>6</v>
      </c>
    </row>
    <row r="28" spans="1:4" x14ac:dyDescent="0.2">
      <c r="A28" s="3" t="s">
        <v>80</v>
      </c>
      <c r="B28" s="2"/>
      <c r="C28" s="3" t="s">
        <v>81</v>
      </c>
      <c r="D28" s="3">
        <v>2</v>
      </c>
    </row>
    <row r="29" spans="1:4" x14ac:dyDescent="0.2">
      <c r="A29" s="3" t="s">
        <v>86</v>
      </c>
      <c r="C29" s="3" t="s">
        <v>84</v>
      </c>
      <c r="D29" s="3">
        <v>1</v>
      </c>
    </row>
    <row r="30" spans="1:4" x14ac:dyDescent="0.2">
      <c r="A30" s="3" t="s">
        <v>92</v>
      </c>
      <c r="C30" s="3" t="s">
        <v>89</v>
      </c>
      <c r="D30" s="3">
        <v>12</v>
      </c>
    </row>
    <row r="31" spans="1:4" x14ac:dyDescent="0.2">
      <c r="A31" s="3" t="s">
        <v>93</v>
      </c>
      <c r="C31" s="3" t="s">
        <v>90</v>
      </c>
      <c r="D31" s="3">
        <v>12</v>
      </c>
    </row>
    <row r="32" spans="1:4" x14ac:dyDescent="0.2">
      <c r="A32" s="3" t="s">
        <v>2</v>
      </c>
      <c r="B32" s="2"/>
      <c r="C32" s="3" t="s">
        <v>21</v>
      </c>
      <c r="D32">
        <v>25</v>
      </c>
    </row>
    <row r="33" spans="1:4" x14ac:dyDescent="0.2">
      <c r="A33" s="3" t="s">
        <v>3</v>
      </c>
      <c r="B33" s="2"/>
      <c r="C33" s="3" t="s">
        <v>22</v>
      </c>
      <c r="D33">
        <v>4</v>
      </c>
    </row>
    <row r="34" spans="1:4" x14ac:dyDescent="0.2">
      <c r="A34" s="3" t="s">
        <v>4</v>
      </c>
      <c r="B34" s="2"/>
      <c r="C34" s="3" t="s">
        <v>21</v>
      </c>
      <c r="D34">
        <v>5</v>
      </c>
    </row>
    <row r="35" spans="1:4" x14ac:dyDescent="0.2">
      <c r="A35" s="3">
        <v>1729128</v>
      </c>
      <c r="B35" s="2"/>
      <c r="C35" s="3" t="s">
        <v>26</v>
      </c>
      <c r="D35">
        <v>10</v>
      </c>
    </row>
    <row r="36" spans="1:4" x14ac:dyDescent="0.2">
      <c r="A36" s="3" t="s">
        <v>9</v>
      </c>
      <c r="B36" s="2"/>
      <c r="C36" s="3" t="s">
        <v>27</v>
      </c>
      <c r="D36">
        <v>11</v>
      </c>
    </row>
    <row r="37" spans="1:4" x14ac:dyDescent="0.2">
      <c r="A37" s="3" t="s">
        <v>10</v>
      </c>
      <c r="B37" s="2"/>
      <c r="C37" s="3" t="s">
        <v>28</v>
      </c>
      <c r="D37">
        <v>46</v>
      </c>
    </row>
    <row r="38" spans="1:4" x14ac:dyDescent="0.2">
      <c r="A38" s="3" t="s">
        <v>12</v>
      </c>
      <c r="B38" s="2"/>
      <c r="C38" s="3" t="s">
        <v>30</v>
      </c>
      <c r="D38">
        <v>18</v>
      </c>
    </row>
    <row r="39" spans="1:4" x14ac:dyDescent="0.2">
      <c r="A39" s="3" t="s">
        <v>15</v>
      </c>
      <c r="B39" s="2"/>
      <c r="C39" s="3" t="s">
        <v>30</v>
      </c>
      <c r="D39">
        <v>8</v>
      </c>
    </row>
    <row r="40" spans="1:4" x14ac:dyDescent="0.2">
      <c r="A40" s="3" t="s">
        <v>16</v>
      </c>
      <c r="B40" s="2"/>
      <c r="C40" s="3" t="s">
        <v>30</v>
      </c>
      <c r="D40">
        <v>68</v>
      </c>
    </row>
    <row r="41" spans="1:4" x14ac:dyDescent="0.2">
      <c r="A41" s="3" t="s">
        <v>18</v>
      </c>
      <c r="B41" s="2"/>
      <c r="C41" s="3" t="s">
        <v>30</v>
      </c>
      <c r="D41">
        <v>4</v>
      </c>
    </row>
    <row r="42" spans="1:4" x14ac:dyDescent="0.2">
      <c r="A42" s="3" t="s">
        <v>19</v>
      </c>
      <c r="B42" s="2"/>
      <c r="C42" s="3" t="s">
        <v>31</v>
      </c>
      <c r="D42">
        <v>6</v>
      </c>
    </row>
    <row r="43" spans="1:4" x14ac:dyDescent="0.2">
      <c r="A43" s="3" t="s">
        <v>34</v>
      </c>
      <c r="B43" s="2"/>
      <c r="C43" s="3" t="s">
        <v>25</v>
      </c>
      <c r="D43">
        <v>6</v>
      </c>
    </row>
    <row r="44" spans="1:4" x14ac:dyDescent="0.2">
      <c r="A44" s="3" t="s">
        <v>35</v>
      </c>
      <c r="B44" s="2"/>
      <c r="C44" s="3" t="s">
        <v>36</v>
      </c>
      <c r="D44">
        <v>3</v>
      </c>
    </row>
    <row r="45" spans="1:4" x14ac:dyDescent="0.2">
      <c r="A45" s="3" t="s">
        <v>37</v>
      </c>
      <c r="B45" s="2"/>
      <c r="C45" s="3" t="s">
        <v>38</v>
      </c>
      <c r="D45">
        <v>3</v>
      </c>
    </row>
    <row r="46" spans="1:4" x14ac:dyDescent="0.2">
      <c r="A46" s="3" t="s">
        <v>39</v>
      </c>
      <c r="B46" s="2"/>
      <c r="C46" s="3" t="s">
        <v>40</v>
      </c>
      <c r="D46">
        <v>2</v>
      </c>
    </row>
    <row r="47" spans="1:4" x14ac:dyDescent="0.2">
      <c r="A47" s="3" t="s">
        <v>43</v>
      </c>
      <c r="B47" s="2"/>
      <c r="C47" s="3" t="s">
        <v>30</v>
      </c>
      <c r="D47">
        <v>2</v>
      </c>
    </row>
    <row r="48" spans="1:4" x14ac:dyDescent="0.2">
      <c r="A48" s="3" t="s">
        <v>44</v>
      </c>
      <c r="B48" s="2"/>
      <c r="C48" s="3" t="s">
        <v>30</v>
      </c>
      <c r="D48">
        <v>16</v>
      </c>
    </row>
    <row r="49" spans="1:4" x14ac:dyDescent="0.2">
      <c r="A49" s="3" t="s">
        <v>47</v>
      </c>
      <c r="B49" s="2"/>
      <c r="C49" s="3" t="s">
        <v>30</v>
      </c>
      <c r="D49">
        <v>10</v>
      </c>
    </row>
    <row r="50" spans="1:4" x14ac:dyDescent="0.2">
      <c r="A50" s="3" t="s">
        <v>55</v>
      </c>
      <c r="C50" s="3" t="s">
        <v>61</v>
      </c>
      <c r="D50">
        <v>2</v>
      </c>
    </row>
    <row r="51" spans="1:4" x14ac:dyDescent="0.2">
      <c r="A51" s="3" t="s">
        <v>57</v>
      </c>
      <c r="C51" s="3" t="s">
        <v>30</v>
      </c>
      <c r="D51">
        <v>8</v>
      </c>
    </row>
    <row r="52" spans="1:4" x14ac:dyDescent="0.2">
      <c r="A52" s="3" t="s">
        <v>71</v>
      </c>
      <c r="B52" s="2"/>
      <c r="C52" s="3" t="s">
        <v>72</v>
      </c>
      <c r="D52">
        <v>20</v>
      </c>
    </row>
    <row r="53" spans="1:4" x14ac:dyDescent="0.2">
      <c r="A53" s="3" t="s">
        <v>85</v>
      </c>
      <c r="C53" s="3" t="s">
        <v>83</v>
      </c>
      <c r="D53">
        <v>4</v>
      </c>
    </row>
    <row r="54" spans="1:4" x14ac:dyDescent="0.2">
      <c r="A54" s="3" t="s">
        <v>91</v>
      </c>
      <c r="C54" s="3" t="s">
        <v>88</v>
      </c>
      <c r="D54">
        <v>24</v>
      </c>
    </row>
  </sheetData>
  <autoFilter ref="A1:E54" xr:uid="{B9146EDC-27F4-CC40-8530-2AB15CE0212E}"/>
  <conditionalFormatting sqref="A2:D28">
    <cfRule type="duplicateValues" dxfId="4" priority="4"/>
  </conditionalFormatting>
  <conditionalFormatting sqref="A29:D31">
    <cfRule type="duplicateValues" dxfId="3" priority="3"/>
  </conditionalFormatting>
  <conditionalFormatting sqref="A1:E1 E2:E32">
    <cfRule type="duplicateValues" dxfId="2" priority="8"/>
  </conditionalFormatting>
  <conditionalFormatting sqref="A32:C54">
    <cfRule type="duplicateValues" dxfId="1" priority="9"/>
  </conditionalFormatting>
  <conditionalFormatting sqref="D32:D54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without SMD</vt:lpstr>
      <vt:lpstr>BOM without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Keelan Reilly</dc:creator>
  <cp:lastModifiedBy>Keelan Reilly</cp:lastModifiedBy>
  <dcterms:created xsi:type="dcterms:W3CDTF">2026-05-12T13:58:01Z</dcterms:created>
  <dcterms:modified xsi:type="dcterms:W3CDTF">2026-05-12T20:21:33Z</dcterms:modified>
</cp:coreProperties>
</file>